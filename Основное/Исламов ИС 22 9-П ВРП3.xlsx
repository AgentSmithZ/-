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Yst\Desktop\ИС 22-9-П Исламов\"/>
    </mc:Choice>
  </mc:AlternateContent>
  <xr:revisionPtr revIDLastSave="0" documentId="13_ncr:1_{D0FE312B-E167-4CE5-86CF-B30F67134940}" xr6:coauthVersionLast="47" xr6:coauthVersionMax="47" xr10:uidLastSave="{00000000-0000-0000-0000-000000000000}"/>
  <bookViews>
    <workbookView xWindow="0" yWindow="432" windowWidth="17280" windowHeight="8964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3" i="2"/>
  <c r="B4" i="2"/>
  <c r="B2" i="2"/>
</calcChain>
</file>

<file path=xl/sharedStrings.xml><?xml version="1.0" encoding="utf-8"?>
<sst xmlns="http://schemas.openxmlformats.org/spreadsheetml/2006/main" count="37" uniqueCount="28">
  <si>
    <t>ФИО</t>
  </si>
  <si>
    <t>Домашний адрес</t>
  </si>
  <si>
    <t>№ телефона</t>
  </si>
  <si>
    <t>Дата рождения</t>
  </si>
  <si>
    <t>№ участка</t>
  </si>
  <si>
    <t>Диспансерный учет</t>
  </si>
  <si>
    <t>Иванов С.А.</t>
  </si>
  <si>
    <t>ул. Мира 6-12</t>
  </si>
  <si>
    <t>45-63-78</t>
  </si>
  <si>
    <t>не состоит</t>
  </si>
  <si>
    <t>Сидоров И.О.</t>
  </si>
  <si>
    <t>ул. Мира 8-69</t>
  </si>
  <si>
    <t>45-89-15</t>
  </si>
  <si>
    <t>отоларинголог</t>
  </si>
  <si>
    <t>Кузнецова Н.И.</t>
  </si>
  <si>
    <t>ул. Ленина 4-56</t>
  </si>
  <si>
    <t>46-86-47</t>
  </si>
  <si>
    <t>ортопед</t>
  </si>
  <si>
    <t>Глазунов С.Н.</t>
  </si>
  <si>
    <t>ул. Ленина 6-48</t>
  </si>
  <si>
    <t>46-89-73</t>
  </si>
  <si>
    <t>Швец Ф.Г.</t>
  </si>
  <si>
    <t>ул. Маркса 1-23</t>
  </si>
  <si>
    <t>45-58-74</t>
  </si>
  <si>
    <t>Миронова М.А.</t>
  </si>
  <si>
    <t>ул.Маркса 5-49</t>
  </si>
  <si>
    <t>45-96-28</t>
  </si>
  <si>
    <t>окулист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</si>
</sst>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B12" sqref="B12"/>
    </sheetView>
  </sheetViews>
  <sheetFormatPr defaultRowHeight="14.4" x14ac:dyDescent="0.3"/>
  <cols>
    <col min="1" max="1" width="14.44140625" customWidth="1"/>
    <col min="2" max="2" width="21.77734375" customWidth="1"/>
    <col min="3" max="3" width="11.109375" customWidth="1"/>
    <col min="4" max="4" width="14.77734375" customWidth="1"/>
    <col min="5" max="5" width="10.109375" customWidth="1"/>
    <col min="6" max="6" width="14.44140625" customWidth="1"/>
  </cols>
  <sheetData>
    <row r="1" spans="1:6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1" t="s">
        <v>6</v>
      </c>
      <c r="B2" s="1" t="s">
        <v>7</v>
      </c>
      <c r="C2" s="3" t="s">
        <v>8</v>
      </c>
      <c r="D2" s="2">
        <v>32394</v>
      </c>
      <c r="E2" s="3">
        <v>5</v>
      </c>
      <c r="F2" s="1" t="s">
        <v>9</v>
      </c>
    </row>
    <row r="3" spans="1:6" x14ac:dyDescent="0.3">
      <c r="A3" s="1" t="s">
        <v>10</v>
      </c>
      <c r="B3" s="1" t="s">
        <v>11</v>
      </c>
      <c r="C3" s="3" t="s">
        <v>12</v>
      </c>
      <c r="D3" s="2">
        <v>32617</v>
      </c>
      <c r="E3" s="3">
        <v>5</v>
      </c>
      <c r="F3" s="1" t="s">
        <v>13</v>
      </c>
    </row>
    <row r="4" spans="1:6" x14ac:dyDescent="0.3">
      <c r="A4" s="1" t="s">
        <v>14</v>
      </c>
      <c r="B4" s="1" t="s">
        <v>15</v>
      </c>
      <c r="C4" s="3" t="s">
        <v>16</v>
      </c>
      <c r="D4" s="2">
        <v>32553</v>
      </c>
      <c r="E4" s="3">
        <v>4</v>
      </c>
      <c r="F4" s="1" t="s">
        <v>17</v>
      </c>
    </row>
    <row r="5" spans="1:6" x14ac:dyDescent="0.3">
      <c r="A5" s="1" t="s">
        <v>18</v>
      </c>
      <c r="B5" s="1" t="s">
        <v>19</v>
      </c>
      <c r="C5" s="3" t="s">
        <v>20</v>
      </c>
      <c r="D5" s="2">
        <v>32692</v>
      </c>
      <c r="E5" s="3">
        <v>4</v>
      </c>
      <c r="F5" s="1" t="s">
        <v>9</v>
      </c>
    </row>
    <row r="6" spans="1:6" x14ac:dyDescent="0.3">
      <c r="A6" s="1" t="s">
        <v>21</v>
      </c>
      <c r="B6" s="1" t="s">
        <v>22</v>
      </c>
      <c r="C6" s="3" t="s">
        <v>23</v>
      </c>
      <c r="D6" s="2">
        <v>32284</v>
      </c>
      <c r="E6" s="3">
        <v>3</v>
      </c>
      <c r="F6" s="1" t="s">
        <v>9</v>
      </c>
    </row>
    <row r="7" spans="1:6" ht="18.600000000000001" customHeight="1" x14ac:dyDescent="0.3">
      <c r="A7" s="1" t="s">
        <v>24</v>
      </c>
      <c r="B7" s="1" t="s">
        <v>25</v>
      </c>
      <c r="C7" s="3" t="s">
        <v>26</v>
      </c>
      <c r="D7" s="2">
        <v>32533</v>
      </c>
      <c r="E7" s="3">
        <v>3</v>
      </c>
      <c r="F7" s="1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0F57-0F0C-4F24-ABC4-47E07C6BEB45}">
  <dimension ref="A1:B6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  <col min="2" max="2" width="17.5546875" customWidth="1"/>
  </cols>
  <sheetData>
    <row r="1" spans="1:2" x14ac:dyDescent="0.3">
      <c r="A1" t="s">
        <v>0</v>
      </c>
      <c r="B1" t="s">
        <v>24</v>
      </c>
    </row>
    <row r="2" spans="1:2" x14ac:dyDescent="0.3">
      <c r="A2" t="s">
        <v>4</v>
      </c>
      <c r="B2" s="6">
        <f>VLOOKUP(B1,Лист1!A2:F7,5,FALSE)</f>
        <v>3</v>
      </c>
    </row>
    <row r="3" spans="1:2" x14ac:dyDescent="0.3">
      <c r="A3" t="s">
        <v>3</v>
      </c>
      <c r="B3" s="5">
        <f>VLOOKUP(B1,Лист1!A2:F7,4,FALSE)</f>
        <v>32533</v>
      </c>
    </row>
    <row r="4" spans="1:2" x14ac:dyDescent="0.3">
      <c r="A4" t="s">
        <v>1</v>
      </c>
      <c r="B4" t="str">
        <f>VLOOKUP(B1,Лист1!A2:F7,2,FALSE)</f>
        <v>ул.Маркса 5-49</v>
      </c>
    </row>
    <row r="5" spans="1:2" x14ac:dyDescent="0.3">
      <c r="A5" t="s">
        <v>2</v>
      </c>
      <c r="B5" t="str">
        <f>VLOOKUP(B1,Лист1!A2:F7,3,FALSE)</f>
        <v>45-96-28</v>
      </c>
    </row>
    <row r="6" spans="1:2" x14ac:dyDescent="0.3">
      <c r="A6" t="s">
        <v>5</v>
      </c>
      <c r="B6" t="str">
        <f>VLOOKUP(B1,Лист1!A2:F7,6,FALSE)</f>
        <v>окулист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PYst</dc:creator>
  <cp:lastModifiedBy>PYstR22</cp:lastModifiedBy>
  <dcterms:created xsi:type="dcterms:W3CDTF">2015-06-05T18:19:34Z</dcterms:created>
  <dcterms:modified xsi:type="dcterms:W3CDTF">2023-12-02T09:59:37Z</dcterms:modified>
</cp:coreProperties>
</file>