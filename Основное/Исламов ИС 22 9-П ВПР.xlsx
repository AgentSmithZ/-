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Yst\Desktop\ИС 22-9-П Исламов\"/>
    </mc:Choice>
  </mc:AlternateContent>
  <xr:revisionPtr revIDLastSave="0" documentId="13_ncr:1_{A0636E94-A0D8-4BEE-9EB4-52D859C591A7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2" l="1"/>
  <c r="B3" i="2"/>
</calcChain>
</file>

<file path=xl/sharedStrings.xml><?xml version="1.0" encoding="utf-8"?>
<sst xmlns="http://schemas.openxmlformats.org/spreadsheetml/2006/main" count="41" uniqueCount="35">
  <si>
    <t>Нотариальная контора "Фемида"</t>
  </si>
  <si>
    <t>ФИО</t>
  </si>
  <si>
    <t>Дата обращения</t>
  </si>
  <si>
    <t>№ дела</t>
  </si>
  <si>
    <t>Вид услуги</t>
  </si>
  <si>
    <t>Домашний адрес</t>
  </si>
  <si>
    <t>Контактный телефон</t>
  </si>
  <si>
    <t>Сумма оплаты услуги, руб</t>
  </si>
  <si>
    <t>Бактимирова К.О.</t>
  </si>
  <si>
    <t>Договор купли продажи квартиры</t>
  </si>
  <si>
    <t>ул.Кирова2-45</t>
  </si>
  <si>
    <t>61-54-69</t>
  </si>
  <si>
    <t>Васильев А.С.</t>
  </si>
  <si>
    <t>Договор аренды помещения</t>
  </si>
  <si>
    <t>пр.Ленина 5-23</t>
  </si>
  <si>
    <t>35-45-87</t>
  </si>
  <si>
    <t>Васнина О.Ф.</t>
  </si>
  <si>
    <t>Оформление завещания</t>
  </si>
  <si>
    <t>ул. С.Кривой 4-52</t>
  </si>
  <si>
    <t>34-56-89</t>
  </si>
  <si>
    <t>Виряскин В.Н.</t>
  </si>
  <si>
    <t>Оформление дарственной</t>
  </si>
  <si>
    <t>ул.Воровского 14-87</t>
  </si>
  <si>
    <t>33-45-96</t>
  </si>
  <si>
    <t>Глазунов И.В.</t>
  </si>
  <si>
    <t>Оформление дарственной на транспортное</t>
  </si>
  <si>
    <t>ул.Энгельса 21-56</t>
  </si>
  <si>
    <t>61-52-69</t>
  </si>
  <si>
    <t>Гридяева А.Н.</t>
  </si>
  <si>
    <t>ул.Кирова 15-47</t>
  </si>
  <si>
    <t>34-19-82</t>
  </si>
  <si>
    <t>Голубов К.В.</t>
  </si>
  <si>
    <t>ул.Энгельса 45-78</t>
  </si>
  <si>
    <t>35-97-49</t>
  </si>
  <si>
    <t>Поиск данных по ФИО клиента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</si>
</sst>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0" fillId="0" borderId="0" xfId="0" applyAlignment="1">
      <alignment vertical="center"/>
    </xf>
    <xf numFmtId="0" fontId="0" fillId="0" borderId="2" xfId="0" applyBorder="1"/>
    <xf numFmtId="0" fontId="0" fillId="0" borderId="1" xfId="0" applyBorder="1" applyAlignment="1">
      <alignment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workbookViewId="0">
      <selection activeCell="C11" sqref="C11"/>
    </sheetView>
  </sheetViews>
  <sheetFormatPr defaultRowHeight="14.4" x14ac:dyDescent="0.3"/>
  <cols>
    <col min="1" max="1" width="18.88671875" customWidth="1"/>
    <col min="2" max="2" width="13.21875" customWidth="1"/>
    <col min="4" max="4" width="15.21875" customWidth="1"/>
    <col min="5" max="5" width="21.5546875" customWidth="1"/>
    <col min="6" max="6" width="13.5546875" customWidth="1"/>
    <col min="7" max="7" width="9.21875" customWidth="1"/>
  </cols>
  <sheetData>
    <row r="1" spans="1:7" x14ac:dyDescent="0.3">
      <c r="A1" s="2" t="s">
        <v>0</v>
      </c>
      <c r="B1" s="2"/>
      <c r="C1" s="2"/>
      <c r="D1" s="2"/>
      <c r="E1" s="2"/>
      <c r="F1" s="2"/>
      <c r="G1" s="2"/>
    </row>
    <row r="2" spans="1:7" ht="57" customHeight="1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 ht="31.2" customHeight="1" x14ac:dyDescent="0.3">
      <c r="A3" s="4" t="s">
        <v>8</v>
      </c>
      <c r="B3" s="5">
        <v>37327</v>
      </c>
      <c r="C3" s="6">
        <v>153</v>
      </c>
      <c r="D3" s="7" t="s">
        <v>9</v>
      </c>
      <c r="E3" s="8" t="s">
        <v>10</v>
      </c>
      <c r="F3" s="9" t="s">
        <v>11</v>
      </c>
      <c r="G3" s="9">
        <v>1200</v>
      </c>
    </row>
    <row r="4" spans="1:7" ht="27" customHeight="1" x14ac:dyDescent="0.3">
      <c r="A4" s="4" t="s">
        <v>12</v>
      </c>
      <c r="B4" s="5">
        <v>37330</v>
      </c>
      <c r="C4" s="6">
        <v>160</v>
      </c>
      <c r="D4" s="7" t="s">
        <v>13</v>
      </c>
      <c r="E4" s="8" t="s">
        <v>14</v>
      </c>
      <c r="F4" s="9" t="s">
        <v>15</v>
      </c>
      <c r="G4" s="9">
        <v>960</v>
      </c>
    </row>
    <row r="5" spans="1:7" ht="27" customHeight="1" x14ac:dyDescent="0.3">
      <c r="A5" s="4" t="s">
        <v>16</v>
      </c>
      <c r="B5" s="5">
        <v>37335</v>
      </c>
      <c r="C5" s="6">
        <v>167</v>
      </c>
      <c r="D5" s="7" t="s">
        <v>17</v>
      </c>
      <c r="E5" s="8" t="s">
        <v>18</v>
      </c>
      <c r="F5" s="9" t="s">
        <v>19</v>
      </c>
      <c r="G5" s="9">
        <v>450</v>
      </c>
    </row>
    <row r="6" spans="1:7" ht="26.4" customHeight="1" x14ac:dyDescent="0.3">
      <c r="A6" s="4" t="s">
        <v>20</v>
      </c>
      <c r="B6" s="5">
        <v>37340</v>
      </c>
      <c r="C6" s="6">
        <v>174</v>
      </c>
      <c r="D6" s="7" t="s">
        <v>21</v>
      </c>
      <c r="E6" s="8" t="s">
        <v>22</v>
      </c>
      <c r="F6" s="9" t="s">
        <v>23</v>
      </c>
      <c r="G6" s="9">
        <v>830</v>
      </c>
    </row>
    <row r="7" spans="1:7" ht="39.6" x14ac:dyDescent="0.3">
      <c r="A7" s="4" t="s">
        <v>24</v>
      </c>
      <c r="B7" s="5">
        <v>37343</v>
      </c>
      <c r="C7" s="6">
        <v>181</v>
      </c>
      <c r="D7" s="7" t="s">
        <v>25</v>
      </c>
      <c r="E7" s="8" t="s">
        <v>26</v>
      </c>
      <c r="F7" s="9" t="s">
        <v>27</v>
      </c>
      <c r="G7" s="9">
        <v>600</v>
      </c>
    </row>
    <row r="8" spans="1:7" ht="27.6" customHeight="1" x14ac:dyDescent="0.3">
      <c r="A8" s="4" t="s">
        <v>28</v>
      </c>
      <c r="B8" s="5">
        <v>37350</v>
      </c>
      <c r="C8" s="6">
        <v>188</v>
      </c>
      <c r="D8" s="7" t="s">
        <v>9</v>
      </c>
      <c r="E8" s="8" t="s">
        <v>29</v>
      </c>
      <c r="F8" s="9" t="s">
        <v>30</v>
      </c>
      <c r="G8" s="9">
        <v>1200</v>
      </c>
    </row>
    <row r="9" spans="1:7" ht="39.6" x14ac:dyDescent="0.3">
      <c r="A9" s="4" t="s">
        <v>31</v>
      </c>
      <c r="B9" s="5">
        <v>37351</v>
      </c>
      <c r="C9" s="6">
        <v>195</v>
      </c>
      <c r="D9" s="7" t="s">
        <v>25</v>
      </c>
      <c r="E9" s="8" t="s">
        <v>32</v>
      </c>
      <c r="F9" s="9" t="s">
        <v>33</v>
      </c>
      <c r="G9" s="9">
        <v>6000</v>
      </c>
    </row>
  </sheetData>
  <mergeCells count="1">
    <mergeCell ref="A1:G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2B6BF-5EEE-4DF7-9649-D677A6FB7583}">
  <dimension ref="A1:B4"/>
  <sheetViews>
    <sheetView tabSelected="1" workbookViewId="0">
      <selection activeCell="B10" sqref="B10"/>
    </sheetView>
  </sheetViews>
  <sheetFormatPr defaultRowHeight="14.4" x14ac:dyDescent="0.3"/>
  <cols>
    <col min="1" max="2" width="17.6640625" customWidth="1"/>
  </cols>
  <sheetData>
    <row r="1" spans="1:2" x14ac:dyDescent="0.3">
      <c r="A1" s="1" t="s">
        <v>34</v>
      </c>
      <c r="B1" s="1"/>
    </row>
    <row r="2" spans="1:2" x14ac:dyDescent="0.3">
      <c r="A2" s="14" t="s">
        <v>1</v>
      </c>
      <c r="B2" s="13" t="s">
        <v>20</v>
      </c>
    </row>
    <row r="3" spans="1:2" x14ac:dyDescent="0.3">
      <c r="A3" s="15" t="s">
        <v>3</v>
      </c>
      <c r="B3" s="11">
        <f>VLOOKUP(B2,Лист1!A3:G9,3,FALSE)</f>
        <v>174</v>
      </c>
    </row>
    <row r="4" spans="1:2" s="10" customFormat="1" ht="28.8" x14ac:dyDescent="0.3">
      <c r="A4" s="16" t="s">
        <v>4</v>
      </c>
      <c r="B4" s="12" t="str">
        <f>VLOOKUP(B2,Лист1!A3:G9,4,FALSE)</f>
        <v>Оформление дарственной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PYst</dc:creator>
  <cp:lastModifiedBy>PYstR22</cp:lastModifiedBy>
  <dcterms:created xsi:type="dcterms:W3CDTF">2015-06-05T18:19:34Z</dcterms:created>
  <dcterms:modified xsi:type="dcterms:W3CDTF">2023-12-02T08:46:29Z</dcterms:modified>
</cp:coreProperties>
</file>