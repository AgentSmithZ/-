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Yst\Desktop\ИС 22-9-П Исламов\"/>
    </mc:Choice>
  </mc:AlternateContent>
  <xr:revisionPtr revIDLastSave="0" documentId="13_ncr:1_{0F774B16-1CE0-4C45-90B4-521029CDFBC3}" xr6:coauthVersionLast="47" xr6:coauthVersionMax="47" xr10:uidLastSave="{00000000-0000-0000-0000-000000000000}"/>
  <bookViews>
    <workbookView xWindow="-7356" yWindow="432" windowWidth="17280" windowHeight="8964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<sst xmlns="http://schemas.openxmlformats.org/spreadsheetml/2006/main" count="18" uniqueCount="16">
  <si>
    <t>Доходы фирм на апрель 2023г.</t>
  </si>
  <si>
    <t>№</t>
  </si>
  <si>
    <t>Фирма</t>
  </si>
  <si>
    <t>Входящее сальдо, руб</t>
  </si>
  <si>
    <t>Оборот средств.</t>
  </si>
  <si>
    <t>Исходящее сальдо, руб</t>
  </si>
  <si>
    <t>дебет, руб</t>
  </si>
  <si>
    <t>кредит, руб</t>
  </si>
  <si>
    <t>ЗАО "Парус"</t>
  </si>
  <si>
    <t>ОАО "Сигма"</t>
  </si>
  <si>
    <t>ОАО "Вектор"</t>
  </si>
  <si>
    <t>ООО "Лайт"</t>
  </si>
  <si>
    <t>ТО "Молния"</t>
  </si>
  <si>
    <t>ЗАО "21 век"</t>
  </si>
  <si>
    <t>Исходящее сальдо</t>
  </si>
  <si>
    <t>Планируемые расходы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</si>
</sst>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F4" sqref="F4:F9"/>
    </sheetView>
  </sheetViews>
  <sheetFormatPr defaultRowHeight="14.4" x14ac:dyDescent="0.3"/>
  <cols>
    <col min="4" max="4" width="11" customWidth="1"/>
    <col min="5" max="5" width="10.88671875" customWidth="1"/>
    <col min="6" max="6" width="10.6640625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/>
      <c r="F2" s="2" t="s">
        <v>5</v>
      </c>
    </row>
    <row r="3" spans="1:6" ht="14.4" customHeight="1" x14ac:dyDescent="0.3">
      <c r="A3" s="2"/>
      <c r="B3" s="2"/>
      <c r="C3" s="2"/>
      <c r="D3" s="3" t="s">
        <v>6</v>
      </c>
      <c r="E3" s="3" t="s">
        <v>7</v>
      </c>
      <c r="F3" s="2"/>
    </row>
    <row r="4" spans="1:6" x14ac:dyDescent="0.3">
      <c r="A4">
        <v>1</v>
      </c>
      <c r="B4" t="s">
        <v>8</v>
      </c>
      <c r="C4">
        <v>18962</v>
      </c>
      <c r="D4">
        <v>45693</v>
      </c>
      <c r="E4">
        <v>36895</v>
      </c>
      <c r="F4">
        <f>C4-D4+E4</f>
        <v>10164</v>
      </c>
    </row>
    <row r="5" spans="1:6" x14ac:dyDescent="0.3">
      <c r="A5">
        <v>2</v>
      </c>
      <c r="B5" t="s">
        <v>9</v>
      </c>
      <c r="C5">
        <v>56893</v>
      </c>
      <c r="D5">
        <v>69873</v>
      </c>
      <c r="E5">
        <v>46328</v>
      </c>
      <c r="F5">
        <f t="shared" ref="F5:F9" si="0">C5-D5+E5</f>
        <v>33348</v>
      </c>
    </row>
    <row r="6" spans="1:6" x14ac:dyDescent="0.3">
      <c r="A6">
        <v>3</v>
      </c>
      <c r="B6" t="s">
        <v>10</v>
      </c>
      <c r="C6">
        <v>45871</v>
      </c>
      <c r="D6">
        <v>96425</v>
      </c>
      <c r="E6">
        <v>94568</v>
      </c>
      <c r="F6">
        <f t="shared" si="0"/>
        <v>44014</v>
      </c>
    </row>
    <row r="7" spans="1:6" x14ac:dyDescent="0.3">
      <c r="A7">
        <v>4</v>
      </c>
      <c r="B7" t="s">
        <v>11</v>
      </c>
      <c r="C7">
        <v>39526</v>
      </c>
      <c r="D7">
        <v>19876</v>
      </c>
      <c r="E7">
        <v>25698</v>
      </c>
      <c r="F7">
        <f t="shared" si="0"/>
        <v>45348</v>
      </c>
    </row>
    <row r="8" spans="1:6" x14ac:dyDescent="0.3">
      <c r="A8">
        <v>5</v>
      </c>
      <c r="B8" t="s">
        <v>12</v>
      </c>
      <c r="C8">
        <v>16894</v>
      </c>
      <c r="D8">
        <v>64893</v>
      </c>
      <c r="E8">
        <v>25698</v>
      </c>
      <c r="F8">
        <f t="shared" si="0"/>
        <v>-22301</v>
      </c>
    </row>
    <row r="9" spans="1:6" x14ac:dyDescent="0.3">
      <c r="A9">
        <v>6</v>
      </c>
      <c r="B9" t="s">
        <v>13</v>
      </c>
      <c r="C9">
        <v>65987</v>
      </c>
      <c r="D9">
        <v>46892</v>
      </c>
      <c r="E9">
        <v>42963</v>
      </c>
      <c r="F9">
        <f t="shared" si="0"/>
        <v>62058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B58C-25E3-4090-B4F0-7F84D8625938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7.88671875" customWidth="1"/>
    <col min="2" max="2" width="13.88671875" customWidth="1"/>
  </cols>
  <sheetData>
    <row r="1" spans="1:2" x14ac:dyDescent="0.3">
      <c r="A1" s="1" t="s">
        <v>15</v>
      </c>
      <c r="B1" s="1"/>
    </row>
    <row r="2" spans="1:2" x14ac:dyDescent="0.3">
      <c r="A2" t="s">
        <v>2</v>
      </c>
      <c r="B2" t="s">
        <v>10</v>
      </c>
    </row>
    <row r="3" spans="1:2" x14ac:dyDescent="0.3">
      <c r="A3" t="s">
        <v>14</v>
      </c>
      <c r="B3">
        <f>VLOOKUP(B2,Лист1!B4:F9,5,FALSE)</f>
        <v>44014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PYst</dc:creator>
  <cp:lastModifiedBy>PYstR22</cp:lastModifiedBy>
  <dcterms:created xsi:type="dcterms:W3CDTF">2015-06-05T18:19:34Z</dcterms:created>
  <dcterms:modified xsi:type="dcterms:W3CDTF">2023-12-02T09:09:15Z</dcterms:modified>
</cp:coreProperties>
</file>